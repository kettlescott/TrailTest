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9f8072a94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 Data" sheetId="1" r:id="Rc0a00ba8724d4f7a"/>
    <x:sheet xmlns:r="http://schemas.openxmlformats.org/officeDocument/2006/relationships" name="NUMA Comparison" sheetId="2" r:id="R03c0866bfb53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200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/>
    <x:xf numFmtId="202" fontId="0" fillId="3" borderId="1" xfId="0" applyNumberFormat="1" applyFont="1" applyFill="1" applyBorder="1"/>
    <x:xf numFmtId="203" fontId="0" fillId="3" borderId="1" xfId="0" applyNumberFormat="1" applyFont="1" applyFill="1" applyBorder="1"/>
    <x:xf numFmtId="201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9375d53534cb6" /><Relationship Type="http://schemas.openxmlformats.org/officeDocument/2006/relationships/theme" Target="/xl/theme/theme1.xml" Id="R550d3a2923814f82" /><Relationship Type="http://schemas.openxmlformats.org/officeDocument/2006/relationships/sharedStrings" Target="/xl/sharedStrings.xml" Id="R29f3ed3b7a404903" /><Relationship Type="http://schemas.openxmlformats.org/officeDocument/2006/relationships/worksheet" Target="/xl/worksheets/sheet1.xml" Id="Rc0a00ba8724d4f7a" /><Relationship Type="http://schemas.openxmlformats.org/officeDocument/2006/relationships/worksheet" Target="/xl/worksheets/sheet2.xml" Id="R03c0866bfb534d08" /></Relationships>
</file>

<file path=xl/tables/table1.xml><?xml version="1.0" encoding="utf-8"?>
<x:table xmlns:x="http://schemas.openxmlformats.org/spreadsheetml/2006/main" id="1" name="PerfDataTable" displayName="PerfDataTable" ref="A1:W9" headerRowCount="1">
  <x:tableColumns count="23">
    <x:tableColumn id="1" name="Task (us)"/>
    <x:tableColumn id="2" name="Configuration"/>
    <x:tableColumn id="3" name="Cycles"/>
    <x:tableColumn id="4" name="Instructions"/>
    <x:tableColumn id="5" name="IPC"/>
    <x:tableColumn id="6" name="Branches"/>
    <x:tableColumn id="7" name="Branch misses"/>
    <x:tableColumn id="8" name="Branch miss rate"/>
    <x:tableColumn id="9" name="Cache references"/>
    <x:tableColumn id="10" name="Cache misses"/>
    <x:tableColumn id="11" name="Cache miss rate"/>
    <x:tableColumn id="12" name="LLC loads"/>
    <x:tableColumn id="13" name="LLC load misses"/>
    <x:tableColumn id="14" name="LLC miss rate"/>
    <x:tableColumn id="15" name="Context switches"/>
    <x:tableColumn id="16" name="CPU migrations"/>
    <x:tableColumn id="17" name="Page faults"/>
    <x:tableColumn id="18" name="Task clock (ms)"/>
    <x:tableColumn id="19" name="CPUs utilized"/>
    <x:tableColumn id="20" name="Local DRAM"/>
    <x:tableColumn id="21" name="Remote DRAM"/>
    <x:tableColumn id="22" name="Remote ratio"/>
    <x:tableColumn id="23" name="Elapsed (s)"/>
  </x:tableColumns>
  <x:tableStyleInfo name="TableStyleMedium2" showRowStripes="1"/>
</x:table>
</file>

<file path=xl/tables/table2.xml><?xml version="1.0" encoding="utf-8"?>
<x:table xmlns:x="http://schemas.openxmlformats.org/spreadsheetml/2006/main" id="2" name="NumaComparisonTable" displayName="NumaComparisonTable" ref="A1:F41" headerRowCount="1">
  <x:tableColumns count="6">
    <x:tableColumn id="1" name="Task (us)"/>
    <x:tableColumn id="2" name="Metric"/>
    <x:tableColumn id="3" name="Baseline"/>
    <x:tableColumn id="4" name="NUMA node mask"/>
    <x:tableColumn id="5" name="NUMA change"/>
    <x:tableColumn id="6" name="NUMA change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f2af580e834b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d037cc14e0407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9" hidden="0" customWidth="1"/>
    <x:col min="6" max="6" width="15" hidden="0" customWidth="1"/>
    <x:col min="7" max="7" width="15" hidden="0" customWidth="1"/>
    <x:col min="8" max="8" width="13" hidden="0" customWidth="1"/>
    <x:col min="9" max="9" width="17" hidden="0" customWidth="1"/>
    <x:col min="10" max="10" width="17" hidden="0" customWidth="1"/>
    <x:col min="11" max="11" width="13" hidden="0" customWidth="1"/>
    <x:col min="12" max="12" width="15" hidden="0" customWidth="1"/>
    <x:col min="13" max="13" width="15" hidden="0" customWidth="1"/>
    <x:col min="14" max="14" width="12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4" hidden="0" customWidth="1"/>
    <x:col min="20" max="20" width="16" hidden="0" customWidth="1"/>
    <x:col min="21" max="21" width="16" hidden="0" customWidth="1"/>
    <x:col min="22" max="22" width="12" hidden="0" customWidth="1"/>
    <x:col min="23" max="23" width="12" hidden="0" customWidth="1"/>
  </x:cols>
  <x:sheetData>
    <x:row r="1" ht="34" customHeight="1">
      <x:c r="A1" s="6" t="str">
        <x:v>Task (us)</x:v>
      </x:c>
      <x:c r="B1" s="6" t="str">
        <x:v>Configuration</x:v>
      </x:c>
      <x:c r="C1" s="6" t="str">
        <x:v>Cycles</x:v>
      </x:c>
      <x:c r="D1" s="6" t="str">
        <x:v>Instructions</x:v>
      </x:c>
      <x:c r="E1" s="6" t="str">
        <x:v>IPC</x:v>
      </x:c>
      <x:c r="F1" s="6" t="str">
        <x:v>Branches</x:v>
      </x:c>
      <x:c r="G1" s="6" t="str">
        <x:v>Branch misses</x:v>
      </x:c>
      <x:c r="H1" s="6" t="str">
        <x:v>Branch miss rate</x:v>
      </x:c>
      <x:c r="I1" s="6" t="str">
        <x:v>Cache references</x:v>
      </x:c>
      <x:c r="J1" s="6" t="str">
        <x:v>Cache misses</x:v>
      </x:c>
      <x:c r="K1" s="6" t="str">
        <x:v>Cache miss rate</x:v>
      </x:c>
      <x:c r="L1" s="6" t="str">
        <x:v>LLC loads</x:v>
      </x:c>
      <x:c r="M1" s="6" t="str">
        <x:v>LLC load misses</x:v>
      </x:c>
      <x:c r="N1" s="6" t="str">
        <x:v>LLC miss rate</x:v>
      </x:c>
      <x:c r="O1" s="6" t="str">
        <x:v>Context switches</x:v>
      </x:c>
      <x:c r="P1" s="6" t="str">
        <x:v>CPU migrations</x:v>
      </x:c>
      <x:c r="Q1" s="6" t="str">
        <x:v>Page faults</x:v>
      </x:c>
      <x:c r="R1" s="6" t="str">
        <x:v>Task clock (ms)</x:v>
      </x:c>
      <x:c r="S1" s="6" t="str">
        <x:v>CPUs utilized</x:v>
      </x:c>
      <x:c r="T1" s="6" t="str">
        <x:v>Local DRAM</x:v>
      </x:c>
      <x:c r="U1" s="6" t="str">
        <x:v>Remote DRAM</x:v>
      </x:c>
      <x:c r="V1" s="6" t="str">
        <x:v>Remote ratio</x:v>
      </x:c>
      <x:c r="W1" s="6" t="str">
        <x:v>Elapsed (s)</x:v>
      </x:c>
    </x:row>
    <x:row r="2">
      <x:c r="A2" s="12" t="n">
        <x:v>50</x:v>
      </x:c>
      <x:c r="B2" s="12" t="str">
        <x:v>Baseline</x:v>
      </x:c>
      <x:c r="C2" s="14" t="n">
        <x:v>5686538022336</x:v>
      </x:c>
      <x:c r="D2" s="14" t="n">
        <x:v>6614698411484</x:v>
      </x:c>
      <x:c r="E2" s="18" t="n">
        <x:f>D2/C2</x:f>
        <x:v>1.1632206424193954</x:v>
      </x:c>
      <x:c r="F2" s="14" t="n">
        <x:v>243081527331</x:v>
      </x:c>
      <x:c r="G2" s="14" t="n">
        <x:v>1184873071</x:v>
      </x:c>
      <x:c r="H2" s="20" t="n">
        <x:f>G2/F2</x:f>
        <x:v>0.004874385495309886</x:v>
      </x:c>
      <x:c r="I2" s="14" t="n">
        <x:v>20061786540</x:v>
      </x:c>
      <x:c r="J2" s="14" t="n">
        <x:v>3453056638</x:v>
      </x:c>
      <x:c r="K2" s="20" t="n">
        <x:f>J2/I2</x:f>
        <x:v>0.1721210935584005</x:v>
      </x:c>
      <x:c r="L2" s="14" t="n">
        <x:v>7423042343</x:v>
      </x:c>
      <x:c r="M2" s="14" t="n">
        <x:v>1556269284</x:v>
      </x:c>
      <x:c r="N2" s="20" t="n">
        <x:f>M2/L2</x:f>
        <x:v>0.20965383357506734</x:v>
      </x:c>
      <x:c r="O2" s="14" t="n">
        <x:v>25717858</x:v>
      </x:c>
      <x:c r="P2" s="14" t="n">
        <x:v>5621</x:v>
      </x:c>
      <x:c r="Q2" s="14" t="n">
        <x:v>920302</x:v>
      </x:c>
      <x:c r="R2" s="16" t="n">
        <x:v>1735219.36</x:v>
      </x:c>
      <x:c r="S2" s="18" t="n">
        <x:v>28.241</x:v>
      </x:c>
      <x:c r="T2" s="14" t="n">
        <x:v>526049754</x:v>
      </x:c>
      <x:c r="U2" s="14" t="n">
        <x:v>272263379</x:v>
      </x:c>
      <x:c r="V2" s="20" t="n">
        <x:f>U2/(T2+U2)</x:f>
        <x:v>0.3410483527646037</x:v>
      </x:c>
      <x:c r="W2" s="18" t="n">
        <x:v>61.442659715</x:v>
      </x:c>
    </x:row>
    <x:row r="3">
      <x:c r="A3" s="22" t="n">
        <x:v>50</x:v>
      </x:c>
      <x:c r="B3" s="22" t="str">
        <x:v>NUMA node mask</x:v>
      </x:c>
      <x:c r="C3" s="23" t="n">
        <x:v>5747449003778</x:v>
      </x:c>
      <x:c r="D3" s="23" t="n">
        <x:v>6722911270183</x:v>
      </x:c>
      <x:c r="E3" s="24" t="n">
        <x:f>D3/C3</x:f>
        <x:v>1.1697209084871905</x:v>
      </x:c>
      <x:c r="F3" s="23" t="n">
        <x:v>245035975782</x:v>
      </x:c>
      <x:c r="G3" s="23" t="n">
        <x:v>1221004415</x:v>
      </x:c>
      <x:c r="H3" s="25" t="n">
        <x:f>G3/F3</x:f>
        <x:v>0.004982959792346105</x:v>
      </x:c>
      <x:c r="I3" s="23" t="n">
        <x:v>19305936234</x:v>
      </x:c>
      <x:c r="J3" s="23" t="n">
        <x:v>2888696388</x:v>
      </x:c>
      <x:c r="K3" s="25" t="n">
        <x:f>J3/I3</x:f>
        <x:v>0.14962736605918492</x:v>
      </x:c>
      <x:c r="L3" s="23" t="n">
        <x:v>7373423938</x:v>
      </x:c>
      <x:c r="M3" s="23" t="n">
        <x:v>1499752063</x:v>
      </x:c>
      <x:c r="N3" s="25" t="n">
        <x:f>M3/L3</x:f>
        <x:v>0.20339967911933182</x:v>
      </x:c>
      <x:c r="O3" s="23" t="n">
        <x:v>26017074</x:v>
      </x:c>
      <x:c r="P3" s="23" t="n">
        <x:v>4941</x:v>
      </x:c>
      <x:c r="Q3" s="23" t="n">
        <x:v>958561</x:v>
      </x:c>
      <x:c r="R3" s="26" t="n">
        <x:v>1751521.2</x:v>
      </x:c>
      <x:c r="S3" s="24" t="n">
        <x:v>28.522</x:v>
      </x:c>
      <x:c r="T3" s="23" t="n">
        <x:v>528105086</x:v>
      </x:c>
      <x:c r="U3" s="23" t="n">
        <x:v>263202111</x:v>
      </x:c>
      <x:c r="V3" s="25" t="n">
        <x:f>U3/(T3+U3)</x:f>
        <x:v>0.3326168547409281</x:v>
      </x:c>
      <x:c r="W3" s="24" t="n">
        <x:v>61.4094562</x:v>
      </x:c>
    </x:row>
    <x:row r="4">
      <x:c r="A4" s="12" t="n">
        <x:v>100</x:v>
      </x:c>
      <x:c r="B4" s="12" t="str">
        <x:v>Baseline</x:v>
      </x:c>
      <x:c r="C4" s="14" t="n">
        <x:v>6043996145937</x:v>
      </x:c>
      <x:c r="D4" s="14" t="n">
        <x:v>7424855694460</x:v>
      </x:c>
      <x:c r="E4" s="18" t="n">
        <x:f>D4/C4</x:f>
        <x:v>1.228467973039868</x:v>
      </x:c>
      <x:c r="F4" s="14" t="n">
        <x:v>181644642021</x:v>
      </x:c>
      <x:c r="G4" s="14" t="n">
        <x:v>978942415</x:v>
      </x:c>
      <x:c r="H4" s="20" t="n">
        <x:f>G4/F4</x:f>
        <x:v>0.005389327227647178</x:v>
      </x:c>
      <x:c r="I4" s="14" t="n">
        <x:v>5852365338</x:v>
      </x:c>
      <x:c r="J4" s="14" t="n">
        <x:v>2488396394</x:v>
      </x:c>
      <x:c r="K4" s="20" t="n">
        <x:f>J4/I4</x:f>
        <x:v>0.42519498532372724</x:v>
      </x:c>
      <x:c r="L4" s="14" t="n">
        <x:v>2912842782</x:v>
      </x:c>
      <x:c r="M4" s="14" t="n">
        <x:v>1296667854</x:v>
      </x:c>
      <x:c r="N4" s="20" t="n">
        <x:f>M4/L4</x:f>
        <x:v>0.44515545501212705</x:v>
      </x:c>
      <x:c r="O4" s="14" t="n">
        <x:v>15659015</x:v>
      </x:c>
      <x:c r="P4" s="14" t="n">
        <x:v>4430</x:v>
      </x:c>
      <x:c r="Q4" s="14" t="n">
        <x:v>790207</x:v>
      </x:c>
      <x:c r="R4" s="16" t="n">
        <x:v>1792615.08</x:v>
      </x:c>
      <x:c r="S4" s="18" t="n">
        <x:v>29.201</x:v>
      </x:c>
      <x:c r="T4" s="14" t="n">
        <x:v>312445171</x:v>
      </x:c>
      <x:c r="U4" s="14" t="n">
        <x:v>546994677</x:v>
      </x:c>
      <x:c r="V4" s="20" t="n">
        <x:f>U4/(T4+U4)</x:f>
        <x:v>0.6364548703122269</x:v>
      </x:c>
      <x:c r="W4" s="18" t="n">
        <x:v>61.388173919</x:v>
      </x:c>
    </x:row>
    <x:row r="5">
      <x:c r="A5" s="22" t="n">
        <x:v>100</x:v>
      </x:c>
      <x:c r="B5" s="22" t="str">
        <x:v>NUMA node mask</x:v>
      </x:c>
      <x:c r="C5" s="23" t="n">
        <x:v>6250651705642</x:v>
      </x:c>
      <x:c r="D5" s="23" t="n">
        <x:v>7561402928417</x:v>
      </x:c>
      <x:c r="E5" s="24" t="n">
        <x:f>D5/C5</x:f>
        <x:v>1.209698329790457</x:v>
      </x:c>
      <x:c r="F5" s="23" t="n">
        <x:v>235402850233</x:v>
      </x:c>
      <x:c r="G5" s="23" t="n">
        <x:v>1018474435</x:v>
      </x:c>
      <x:c r="H5" s="25" t="n">
        <x:f>G5/F5</x:f>
        <x:v>0.004326517006875327</x:v>
      </x:c>
      <x:c r="I5" s="23" t="n">
        <x:v>16780648594</x:v>
      </x:c>
      <x:c r="J5" s="23" t="n">
        <x:v>2145621717</x:v>
      </x:c>
      <x:c r="K5" s="25" t="n">
        <x:f>J5/I5</x:f>
        <x:v>0.12786285970896125</x:v>
      </x:c>
      <x:c r="L5" s="23" t="n">
        <x:v>6387733670</x:v>
      </x:c>
      <x:c r="M5" s="23" t="n">
        <x:v>1171152023</x:v>
      </x:c>
      <x:c r="N5" s="25" t="n">
        <x:f>M5/L5</x:f>
        <x:v>0.18334390309669876</x:v>
      </x:c>
      <x:c r="O5" s="23" t="n">
        <x:v>15483940</x:v>
      </x:c>
      <x:c r="P5" s="23" t="n">
        <x:v>5132</x:v>
      </x:c>
      <x:c r="Q5" s="23" t="n">
        <x:v>962344</x:v>
      </x:c>
      <x:c r="R5" s="26" t="n">
        <x:v>1854299.31</x:v>
      </x:c>
      <x:c r="S5" s="24" t="n">
        <x:v>30.192</x:v>
      </x:c>
      <x:c r="T5" s="23" t="n">
        <x:v>494035886</x:v>
      </x:c>
      <x:c r="U5" s="23" t="n">
        <x:v>242091590</x:v>
      </x:c>
      <x:c r="V5" s="25" t="n">
        <x:f>U5/(T5+U5)</x:f>
        <x:v>0.3288718298024784</x:v>
      </x:c>
      <x:c r="W5" s="24" t="n">
        <x:v>61.417194042</x:v>
      </x:c>
    </x:row>
    <x:row r="6">
      <x:c r="A6" s="12" t="n">
        <x:v>200</x:v>
      </x:c>
      <x:c r="B6" s="12" t="str">
        <x:v>Baseline</x:v>
      </x:c>
      <x:c r="C6" s="14" t="n">
        <x:v>6661742872330</x:v>
      </x:c>
      <x:c r="D6" s="14" t="n">
        <x:v>8266511711330</x:v>
      </x:c>
      <x:c r="E6" s="18" t="n">
        <x:f>D6/C6</x:f>
        <x:v>1.2408932421672287</x:v>
      </x:c>
      <x:c r="F6" s="14" t="n">
        <x:v>230400094462</x:v>
      </x:c>
      <x:c r="G6" s="14" t="n">
        <x:v>783870860</x:v>
      </x:c>
      <x:c r="H6" s="20" t="n">
        <x:f>G6/F6</x:f>
        <x:v>0.003402215879426578</x:v>
      </x:c>
      <x:c r="I6" s="14" t="n">
        <x:v>15360731208</x:v>
      </x:c>
      <x:c r="J6" s="14" t="n">
        <x:v>1850389262</x:v>
      </x:c>
      <x:c r="K6" s="20" t="n">
        <x:f>J6/I6</x:f>
        <x:v>0.12046231634053342</x:v>
      </x:c>
      <x:c r="L6" s="14" t="n">
        <x:v>5809406582</x:v>
      </x:c>
      <x:c r="M6" s="14" t="n">
        <x:v>1009839219</x:v>
      </x:c>
      <x:c r="N6" s="20" t="n">
        <x:f>M6/L6</x:f>
        <x:v>0.17382829119395934</x:v>
      </x:c>
      <x:c r="O6" s="14" t="n">
        <x:v>8242446</x:v>
      </x:c>
      <x:c r="P6" s="14" t="n">
        <x:v>3762</x:v>
      </x:c>
      <x:c r="Q6" s="14" t="n">
        <x:v>469329</x:v>
      </x:c>
      <x:c r="R6" s="16" t="n">
        <x:v>1942623.88</x:v>
      </x:c>
      <x:c r="S6" s="18" t="n">
        <x:v>31.612</x:v>
      </x:c>
      <x:c r="T6" s="14" t="n">
        <x:v>489955704</x:v>
      </x:c>
      <x:c r="U6" s="14" t="n">
        <x:v>245007323</x:v>
      </x:c>
      <x:c r="V6" s="20" t="n">
        <x:f>U6/(T6+U6)</x:f>
        <x:v>0.33336006574382415</x:v>
      </x:c>
      <x:c r="W6" s="18" t="n">
        <x:v>61.452696842</x:v>
      </x:c>
    </x:row>
    <x:row r="7">
      <x:c r="A7" s="22" t="n">
        <x:v>200</x:v>
      </x:c>
      <x:c r="B7" s="22" t="str">
        <x:v>NUMA node mask</x:v>
      </x:c>
      <x:c r="C7" s="23" t="n">
        <x:v>6556168329883</x:v>
      </x:c>
      <x:c r="D7" s="23" t="n">
        <x:v>8230435409989</x:v>
      </x:c>
      <x:c r="E7" s="24" t="n">
        <x:f>D7/C7</x:f>
        <x:v>1.2553728025064113</x:v>
      </x:c>
      <x:c r="F7" s="23" t="n">
        <x:v>219716343094</x:v>
      </x:c>
      <x:c r="G7" s="23" t="n">
        <x:v>684614081</x:v>
      </x:c>
      <x:c r="H7" s="25" t="n">
        <x:f>G7/F7</x:f>
        <x:v>0.003115899670272163</x:v>
      </x:c>
      <x:c r="I7" s="23" t="n">
        <x:v>13944525378</x:v>
      </x:c>
      <x:c r="J7" s="23" t="n">
        <x:v>1360949784</x:v>
      </x:c>
      <x:c r="K7" s="25" t="n">
        <x:f>J7/I7</x:f>
        <x:v>0.09759742602262701</x:v>
      </x:c>
      <x:c r="L7" s="23" t="n">
        <x:v>4820941324</x:v>
      </x:c>
      <x:c r="M7" s="23" t="n">
        <x:v>601554365</x:v>
      </x:c>
      <x:c r="N7" s="25" t="n">
        <x:f>M7/L7</x:f>
        <x:v>0.12477944131061985</x:v>
      </x:c>
      <x:c r="O7" s="23" t="n">
        <x:v>8474656</x:v>
      </x:c>
      <x:c r="P7" s="23" t="n">
        <x:v>3371</x:v>
      </x:c>
      <x:c r="Q7" s="23" t="n">
        <x:v>681956</x:v>
      </x:c>
      <x:c r="R7" s="26" t="n">
        <x:v>1912597.26</x:v>
      </x:c>
      <x:c r="S7" s="24" t="n">
        <x:v>31.11</x:v>
      </x:c>
      <x:c r="T7" s="23" t="n">
        <x:v>241033497</x:v>
      </x:c>
      <x:c r="U7" s="23" t="n">
        <x:v>87506801</x:v>
      </x:c>
      <x:c r="V7" s="25" t="n">
        <x:f>U7/(T7+U7)</x:f>
        <x:v>0.2663502819371035</x:v>
      </x:c>
      <x:c r="W7" s="24" t="n">
        <x:v>61.477812174</x:v>
      </x:c>
    </x:row>
    <x:row r="8">
      <x:c r="A8" s="12" t="n">
        <x:v>300</x:v>
      </x:c>
      <x:c r="B8" s="12" t="str">
        <x:v>Baseline</x:v>
      </x:c>
      <x:c r="C8" s="14" t="n">
        <x:v>6704331005314</x:v>
      </x:c>
      <x:c r="D8" s="14" t="n">
        <x:v>8377536182475</x:v>
      </x:c>
      <x:c r="E8" s="18" t="n">
        <x:f>D8/C8</x:f>
        <x:v>1.2495707887684515</x:v>
      </x:c>
      <x:c r="F8" s="14" t="n">
        <x:v>230122505022</x:v>
      </x:c>
      <x:c r="G8" s="14" t="n">
        <x:v>710117694</x:v>
      </x:c>
      <x:c r="H8" s="20" t="n">
        <x:f>G8/F8</x:f>
        <x:v>0.0030858246303729045</x:v>
      </x:c>
      <x:c r="I8" s="14" t="n">
        <x:v>15172489579</x:v>
      </x:c>
      <x:c r="J8" s="14" t="n">
        <x:v>1561597337</x:v>
      </x:c>
      <x:c r="K8" s="20" t="n">
        <x:f>J8/I8</x:f>
        <x:v>0.1029229467497135</x:v>
      </x:c>
      <x:c r="L8" s="14" t="n">
        <x:v>5818047071</x:v>
      </x:c>
      <x:c r="M8" s="14" t="n">
        <x:v>937677503</x:v>
      </x:c>
      <x:c r="N8" s="20" t="n">
        <x:f>M8/L8</x:f>
        <x:v>0.1611670534041989</x:v>
      </x:c>
      <x:c r="O8" s="14" t="n">
        <x:v>7093331</x:v>
      </x:c>
      <x:c r="P8" s="14" t="n">
        <x:v>2644</x:v>
      </x:c>
      <x:c r="Q8" s="14" t="n">
        <x:v>527126</x:v>
      </x:c>
      <x:c r="R8" s="16" t="n">
        <x:v>1948584.72</x:v>
      </x:c>
      <x:c r="S8" s="18" t="n">
        <x:v>31.722</x:v>
      </x:c>
      <x:c r="T8" s="14" t="n">
        <x:v>473237180</x:v>
      </x:c>
      <x:c r="U8" s="14" t="n">
        <x:v>241496744</x:v>
      </x:c>
      <x:c r="V8" s="20" t="n">
        <x:f>U8/(T8+U8)</x:f>
        <x:v>0.3378834219152021</x:v>
      </x:c>
      <x:c r="W8" s="18" t="n">
        <x:v>61.42743266</x:v>
      </x:c>
    </x:row>
    <x:row r="9">
      <x:c r="A9" s="22" t="n">
        <x:v>300</x:v>
      </x:c>
      <x:c r="B9" s="22" t="str">
        <x:v>NUMA node mask</x:v>
      </x:c>
      <x:c r="C9" s="23" t="n">
        <x:v>6691828370097</x:v>
      </x:c>
      <x:c r="D9" s="23" t="n">
        <x:v>8350354503963</x:v>
      </x:c>
      <x:c r="E9" s="24" t="n">
        <x:f>D9/C9</x:f>
        <x:v>1.2478434954006388</x:v>
      </x:c>
      <x:c r="F9" s="23" t="n">
        <x:v>225356076155</x:v>
      </x:c>
      <x:c r="G9" s="23" t="n">
        <x:v>691003737</x:v>
      </x:c>
      <x:c r="H9" s="25" t="n">
        <x:f>G9/F9</x:f>
        <x:v>0.0030662751534807848</x:v>
      </x:c>
      <x:c r="I9" s="23" t="n">
        <x:v>14431919547</x:v>
      </x:c>
      <x:c r="J9" s="23" t="n">
        <x:v>1628462267</x:v>
      </x:c>
      <x:c r="K9" s="25" t="n">
        <x:f>J9/I9</x:f>
        <x:v>0.11283753777150958</x:v>
      </x:c>
      <x:c r="L9" s="23" t="n">
        <x:v>5369074051</x:v>
      </x:c>
      <x:c r="M9" s="23" t="n">
        <x:v>975424377</x:v>
      </x:c>
      <x:c r="N9" s="25" t="n">
        <x:f>M9/L9</x:f>
        <x:v>0.18167459933213725</x:v>
      </x:c>
      <x:c r="O9" s="23" t="n">
        <x:v>7238575</x:v>
      </x:c>
      <x:c r="P9" s="23" t="n">
        <x:v>2755</x:v>
      </x:c>
      <x:c r="Q9" s="23" t="n">
        <x:v>468487</x:v>
      </x:c>
      <x:c r="R9" s="26" t="n">
        <x:v>1945445.52</x:v>
      </x:c>
      <x:c r="S9" s="24" t="n">
        <x:v>31.659</x:v>
      </x:c>
      <x:c r="T9" s="23" t="n">
        <x:v>210407633</x:v>
      </x:c>
      <x:c r="U9" s="23" t="n">
        <x:v>536853682</x:v>
      </x:c>
      <x:c r="V9" s="25" t="n">
        <x:f>U9/(T9+U9)</x:f>
        <x:v>0.7184283077734327</x:v>
      </x:c>
      <x:c r="W9" s="24" t="n">
        <x:v>61.449856818</x:v>
      </x:c>
    </x:row>
  </x:sheetData>
  <x:conditionalFormatting sqref="V2:V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3f2af580e834b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</x:cols>
  <x:sheetData>
    <x:row r="1" ht="30" customHeight="1">
      <x:c r="A1" s="6" t="str">
        <x:v>Task (us)</x:v>
      </x:c>
      <x:c r="B1" s="6" t="str">
        <x:v>Metric</x:v>
      </x:c>
      <x:c r="C1" s="6" t="str">
        <x:v>Baseline</x:v>
      </x:c>
      <x:c r="D1" s="6" t="str">
        <x:v>NUMA node mask</x:v>
      </x:c>
      <x:c r="E1" s="6" t="str">
        <x:v>NUMA change</x:v>
      </x:c>
      <x:c r="F1" s="6" t="str">
        <x:v>NUMA change (%)</x:v>
      </x:c>
    </x:row>
    <x:row r="2">
      <x:c r="A2" s="12" t="n">
        <x:v>50</x:v>
      </x:c>
      <x:c r="B2" t="str">
        <x:v>IPC</x:v>
      </x:c>
      <x:c r="C2" s="18" t="n">
        <x:f>'Perf Data'!E2</x:f>
        <x:v>1.1632206424193954</x:v>
      </x:c>
      <x:c r="D2" s="18" t="n">
        <x:f>'Perf Data'!E3</x:f>
        <x:v>1.1697209084871905</x:v>
      </x:c>
      <x:c r="E2" s="18" t="n">
        <x:f>D2-C2</x:f>
        <x:v>0.00650026606779508</x:v>
      </x:c>
      <x:c r="F2" s="20" t="n">
        <x:f>IF(C2=0,0,E2/C2)</x:f>
        <x:v>0.00558816258132688</x:v>
      </x:c>
    </x:row>
    <x:row r="3">
      <x:c r="A3" s="12" t="n">
        <x:v>50</x:v>
      </x:c>
      <x:c r="B3" t="str">
        <x:v>Branch miss rate</x:v>
      </x:c>
      <x:c r="C3" s="20" t="n">
        <x:f>'Perf Data'!H2</x:f>
        <x:v>0.004874385495309886</x:v>
      </x:c>
      <x:c r="D3" s="20" t="n">
        <x:f>'Perf Data'!H3</x:f>
        <x:v>0.004982959792346105</x:v>
      </x:c>
      <x:c r="E3" s="20" t="n">
        <x:f>D3-C3</x:f>
        <x:v>0.00010857429703621871</x:v>
      </x:c>
      <x:c r="F3" s="20" t="n">
        <x:f>IF(C3=0,0,E3/C3)</x:f>
        <x:v>0.02227445841956662</x:v>
      </x:c>
    </x:row>
    <x:row r="4">
      <x:c r="A4" s="12" t="n">
        <x:v>50</x:v>
      </x:c>
      <x:c r="B4" t="str">
        <x:v>Cache miss rate</x:v>
      </x:c>
      <x:c r="C4" s="20" t="n">
        <x:f>'Perf Data'!K2</x:f>
        <x:v>0.1721210935584005</x:v>
      </x:c>
      <x:c r="D4" s="20" t="n">
        <x:f>'Perf Data'!K3</x:f>
        <x:v>0.14962736605918492</x:v>
      </x:c>
      <x:c r="E4" s="20" t="n">
        <x:f>D4-C4</x:f>
        <x:v>-0.022493727499215577</x:v>
      </x:c>
      <x:c r="F4" s="20" t="n">
        <x:f>IF(C4=0,0,E4/C4)</x:f>
        <x:v>-0.13068547866031005</x:v>
      </x:c>
    </x:row>
    <x:row r="5">
      <x:c r="A5" s="12" t="n">
        <x:v>50</x:v>
      </x:c>
      <x:c r="B5" t="str">
        <x:v>LLC miss rate</x:v>
      </x:c>
      <x:c r="C5" s="20" t="n">
        <x:f>'Perf Data'!N2</x:f>
        <x:v>0.20965383357506734</x:v>
      </x:c>
      <x:c r="D5" s="20" t="n">
        <x:f>'Perf Data'!N3</x:f>
        <x:v>0.20339967911933182</x:v>
      </x:c>
      <x:c r="E5" s="20" t="n">
        <x:f>D5-C5</x:f>
        <x:v>-0.006254154455735517</x:v>
      </x:c>
      <x:c r="F5" s="20" t="n">
        <x:f>IF(C5=0,0,E5/C5)</x:f>
        <x:v>-0.029830861420886888</x:v>
      </x:c>
    </x:row>
    <x:row r="6">
      <x:c r="A6" s="12" t="n">
        <x:v>50</x:v>
      </x:c>
      <x:c r="B6" t="str">
        <x:v>Context switches</x:v>
      </x:c>
      <x:c r="C6" s="14" t="n">
        <x:f>'Perf Data'!O2</x:f>
        <x:v>25717858</x:v>
      </x:c>
      <x:c r="D6" s="14" t="n">
        <x:f>'Perf Data'!O3</x:f>
        <x:v>26017074</x:v>
      </x:c>
      <x:c r="E6" s="14" t="n">
        <x:f>D6-C6</x:f>
        <x:v>299216</x:v>
      </x:c>
      <x:c r="F6" s="20" t="n">
        <x:f>IF(C6=0,0,E6/C6)</x:f>
        <x:v>0.011634561478642584</x:v>
      </x:c>
    </x:row>
    <x:row r="7">
      <x:c r="A7" s="12" t="n">
        <x:v>50</x:v>
      </x:c>
      <x:c r="B7" t="str">
        <x:v>CPU migrations</x:v>
      </x:c>
      <x:c r="C7" s="14" t="n">
        <x:f>'Perf Data'!P2</x:f>
        <x:v>5621</x:v>
      </x:c>
      <x:c r="D7" s="14" t="n">
        <x:f>'Perf Data'!P3</x:f>
        <x:v>4941</x:v>
      </x:c>
      <x:c r="E7" s="14" t="n">
        <x:f>D7-C7</x:f>
        <x:v>-680</x:v>
      </x:c>
      <x:c r="F7" s="20" t="n">
        <x:f>IF(C7=0,0,E7/C7)</x:f>
        <x:v>-0.12097491549546344</x:v>
      </x:c>
    </x:row>
    <x:row r="8">
      <x:c r="A8" s="12" t="n">
        <x:v>50</x:v>
      </x:c>
      <x:c r="B8" t="str">
        <x:v>CPUs utilized</x:v>
      </x:c>
      <x:c r="C8" s="18" t="n">
        <x:f>'Perf Data'!S2</x:f>
        <x:v>28.241</x:v>
      </x:c>
      <x:c r="D8" s="18" t="n">
        <x:f>'Perf Data'!S3</x:f>
        <x:v>28.522</x:v>
      </x:c>
      <x:c r="E8" s="18" t="n">
        <x:f>D8-C8</x:f>
        <x:v>0.2809999999999988</x:v>
      </x:c>
      <x:c r="F8" s="20" t="n">
        <x:f>IF(C8=0,0,E8/C8)</x:f>
        <x:v>0.009950072589497497</x:v>
      </x:c>
    </x:row>
    <x:row r="9">
      <x:c r="A9" s="12" t="n">
        <x:v>50</x:v>
      </x:c>
      <x:c r="B9" t="str">
        <x:v>Local DRAM</x:v>
      </x:c>
      <x:c r="C9" s="14" t="n">
        <x:f>'Perf Data'!T2</x:f>
        <x:v>526049754</x:v>
      </x:c>
      <x:c r="D9" s="14" t="n">
        <x:f>'Perf Data'!T3</x:f>
        <x:v>528105086</x:v>
      </x:c>
      <x:c r="E9" s="14" t="n">
        <x:f>D9-C9</x:f>
        <x:v>2055332</x:v>
      </x:c>
      <x:c r="F9" s="20" t="n">
        <x:f>IF(C9=0,0,E9/C9)</x:f>
        <x:v>0.003907105714567067</x:v>
      </x:c>
    </x:row>
    <x:row r="10">
      <x:c r="A10" s="12" t="n">
        <x:v>50</x:v>
      </x:c>
      <x:c r="B10" t="str">
        <x:v>Remote DRAM</x:v>
      </x:c>
      <x:c r="C10" s="14" t="n">
        <x:f>'Perf Data'!U2</x:f>
        <x:v>272263379</x:v>
      </x:c>
      <x:c r="D10" s="14" t="n">
        <x:f>'Perf Data'!U3</x:f>
        <x:v>263202111</x:v>
      </x:c>
      <x:c r="E10" s="14" t="n">
        <x:f>D10-C10</x:f>
        <x:v>-9061268</x:v>
      </x:c>
      <x:c r="F10" s="20" t="n">
        <x:f>IF(C10=0,0,E10/C10)</x:f>
        <x:v>-0.0332812588798437</x:v>
      </x:c>
    </x:row>
    <x:row r="11">
      <x:c r="A11" s="12" t="n">
        <x:v>50</x:v>
      </x:c>
      <x:c r="B11" t="str">
        <x:v>Remote ratio</x:v>
      </x:c>
      <x:c r="C11" s="20" t="n">
        <x:f>'Perf Data'!V2</x:f>
        <x:v>0.3410483527646037</x:v>
      </x:c>
      <x:c r="D11" s="20" t="n">
        <x:f>'Perf Data'!V3</x:f>
        <x:v>0.3326168547409281</x:v>
      </x:c>
      <x:c r="E11" s="20" t="n">
        <x:f>D11-C11</x:f>
        <x:v>-0.008431498023675599</x:v>
      </x:c>
      <x:c r="F11" s="20" t="n">
        <x:f>IF(C11=0,0,E11/C11)</x:f>
        <x:v>-0.024722295109559245</x:v>
      </x:c>
    </x:row>
    <x:row r="12">
      <x:c r="A12" s="12" t="n">
        <x:v>100</x:v>
      </x:c>
      <x:c r="B12" t="str">
        <x:v>IPC</x:v>
      </x:c>
      <x:c r="C12" s="18" t="n">
        <x:f>'Perf Data'!E4</x:f>
        <x:v>1.228467973039868</x:v>
      </x:c>
      <x:c r="D12" s="18" t="n">
        <x:f>'Perf Data'!E5</x:f>
        <x:v>1.209698329790457</x:v>
      </x:c>
      <x:c r="E12" s="18" t="n">
        <x:f>D12-C12</x:f>
        <x:v>-0.018769643249410883</x:v>
      </x:c>
      <x:c r="F12" s="20" t="n">
        <x:f>IF(C12=0,0,E12/C12)</x:f>
        <x:v>-0.01527890320409822</x:v>
      </x:c>
    </x:row>
    <x:row r="13">
      <x:c r="A13" s="12" t="n">
        <x:v>100</x:v>
      </x:c>
      <x:c r="B13" t="str">
        <x:v>Branch miss rate</x:v>
      </x:c>
      <x:c r="C13" s="20" t="n">
        <x:f>'Perf Data'!H4</x:f>
        <x:v>0.005389327227647178</x:v>
      </x:c>
      <x:c r="D13" s="20" t="n">
        <x:f>'Perf Data'!H5</x:f>
        <x:v>0.004326517006875327</x:v>
      </x:c>
      <x:c r="E13" s="20" t="n">
        <x:f>D13-C13</x:f>
        <x:v>-0.0010628102207718513</x:v>
      </x:c>
      <x:c r="F13" s="20" t="n">
        <x:f>IF(C13=0,0,E13/C13)</x:f>
        <x:v>-0.19720647418097917</x:v>
      </x:c>
    </x:row>
    <x:row r="14">
      <x:c r="A14" s="12" t="n">
        <x:v>100</x:v>
      </x:c>
      <x:c r="B14" t="str">
        <x:v>Cache miss rate</x:v>
      </x:c>
      <x:c r="C14" s="20" t="n">
        <x:f>'Perf Data'!K4</x:f>
        <x:v>0.42519498532372724</x:v>
      </x:c>
      <x:c r="D14" s="20" t="n">
        <x:f>'Perf Data'!K5</x:f>
        <x:v>0.12786285970896125</x:v>
      </x:c>
      <x:c r="E14" s="20" t="n">
        <x:f>D14-C14</x:f>
        <x:v>-0.29733212561476596</x:v>
      </x:c>
      <x:c r="F14" s="20" t="n">
        <x:f>IF(C14=0,0,E14/C14)</x:f>
        <x:v>-0.6992841775600637</x:v>
      </x:c>
    </x:row>
    <x:row r="15">
      <x:c r="A15" s="12" t="n">
        <x:v>100</x:v>
      </x:c>
      <x:c r="B15" t="str">
        <x:v>LLC miss rate</x:v>
      </x:c>
      <x:c r="C15" s="20" t="n">
        <x:f>'Perf Data'!N4</x:f>
        <x:v>0.44515545501212705</x:v>
      </x:c>
      <x:c r="D15" s="20" t="n">
        <x:f>'Perf Data'!N5</x:f>
        <x:v>0.18334390309669876</x:v>
      </x:c>
      <x:c r="E15" s="20" t="n">
        <x:f>D15-C15</x:f>
        <x:v>-0.26181155191542826</x:v>
      </x:c>
      <x:c r="F15" s="20" t="n">
        <x:f>IF(C15=0,0,E15/C15)</x:f>
        <x:v>-0.5881351086853376</x:v>
      </x:c>
    </x:row>
    <x:row r="16">
      <x:c r="A16" s="12" t="n">
        <x:v>100</x:v>
      </x:c>
      <x:c r="B16" t="str">
        <x:v>Context switches</x:v>
      </x:c>
      <x:c r="C16" s="14" t="n">
        <x:f>'Perf Data'!O4</x:f>
        <x:v>15659015</x:v>
      </x:c>
      <x:c r="D16" s="14" t="n">
        <x:f>'Perf Data'!O5</x:f>
        <x:v>15483940</x:v>
      </x:c>
      <x:c r="E16" s="14" t="n">
        <x:f>D16-C16</x:f>
        <x:v>-175075</x:v>
      </x:c>
      <x:c r="F16" s="20" t="n">
        <x:f>IF(C16=0,0,E16/C16)</x:f>
        <x:v>-0.01118046058452591</x:v>
      </x:c>
    </x:row>
    <x:row r="17">
      <x:c r="A17" s="12" t="n">
        <x:v>100</x:v>
      </x:c>
      <x:c r="B17" t="str">
        <x:v>CPU migrations</x:v>
      </x:c>
      <x:c r="C17" s="14" t="n">
        <x:f>'Perf Data'!P4</x:f>
        <x:v>4430</x:v>
      </x:c>
      <x:c r="D17" s="14" t="n">
        <x:f>'Perf Data'!P5</x:f>
        <x:v>5132</x:v>
      </x:c>
      <x:c r="E17" s="14" t="n">
        <x:f>D17-C17</x:f>
        <x:v>702</x:v>
      </x:c>
      <x:c r="F17" s="20" t="n">
        <x:f>IF(C17=0,0,E17/C17)</x:f>
        <x:v>0.15846501128668172</x:v>
      </x:c>
    </x:row>
    <x:row r="18">
      <x:c r="A18" s="12" t="n">
        <x:v>100</x:v>
      </x:c>
      <x:c r="B18" t="str">
        <x:v>CPUs utilized</x:v>
      </x:c>
      <x:c r="C18" s="18" t="n">
        <x:f>'Perf Data'!S4</x:f>
        <x:v>29.201</x:v>
      </x:c>
      <x:c r="D18" s="18" t="n">
        <x:f>'Perf Data'!S5</x:f>
        <x:v>30.192</x:v>
      </x:c>
      <x:c r="E18" s="18" t="n">
        <x:f>D18-C18</x:f>
        <x:v>0.9909999999999997</x:v>
      </x:c>
      <x:c r="F18" s="20" t="n">
        <x:f>IF(C18=0,0,E18/C18)</x:f>
        <x:v>0.033937193931714654</x:v>
      </x:c>
    </x:row>
    <x:row r="19">
      <x:c r="A19" s="12" t="n">
        <x:v>100</x:v>
      </x:c>
      <x:c r="B19" t="str">
        <x:v>Local DRAM</x:v>
      </x:c>
      <x:c r="C19" s="14" t="n">
        <x:f>'Perf Data'!T4</x:f>
        <x:v>312445171</x:v>
      </x:c>
      <x:c r="D19" s="14" t="n">
        <x:f>'Perf Data'!T5</x:f>
        <x:v>494035886</x:v>
      </x:c>
      <x:c r="E19" s="14" t="n">
        <x:f>D19-C19</x:f>
        <x:v>181590715</x:v>
      </x:c>
      <x:c r="F19" s="20" t="n">
        <x:f>IF(C19=0,0,E19/C19)</x:f>
        <x:v>0.5811922598093219</x:v>
      </x:c>
    </x:row>
    <x:row r="20">
      <x:c r="A20" s="12" t="n">
        <x:v>100</x:v>
      </x:c>
      <x:c r="B20" t="str">
        <x:v>Remote DRAM</x:v>
      </x:c>
      <x:c r="C20" s="14" t="n">
        <x:f>'Perf Data'!U4</x:f>
        <x:v>546994677</x:v>
      </x:c>
      <x:c r="D20" s="14" t="n">
        <x:f>'Perf Data'!U5</x:f>
        <x:v>242091590</x:v>
      </x:c>
      <x:c r="E20" s="14" t="n">
        <x:f>D20-C20</x:f>
        <x:v>-304903087</x:v>
      </x:c>
      <x:c r="F20" s="20" t="n">
        <x:f>IF(C20=0,0,E20/C20)</x:f>
        <x:v>-0.5574150897998592</x:v>
      </x:c>
    </x:row>
    <x:row r="21">
      <x:c r="A21" s="12" t="n">
        <x:v>100</x:v>
      </x:c>
      <x:c r="B21" t="str">
        <x:v>Remote ratio</x:v>
      </x:c>
      <x:c r="C21" s="20" t="n">
        <x:f>'Perf Data'!V4</x:f>
        <x:v>0.6364548703122269</x:v>
      </x:c>
      <x:c r="D21" s="20" t="n">
        <x:f>'Perf Data'!V5</x:f>
        <x:v>0.3288718298024784</x:v>
      </x:c>
      <x:c r="E21" s="20" t="n">
        <x:f>D21-C21</x:f>
        <x:v>-0.3075830405097485</x:v>
      </x:c>
      <x:c r="F21" s="20" t="n">
        <x:f>IF(C21=0,0,E21/C21)</x:f>
        <x:v>-0.48327549188029134</x:v>
      </x:c>
    </x:row>
    <x:row r="22">
      <x:c r="A22" s="12" t="n">
        <x:v>200</x:v>
      </x:c>
      <x:c r="B22" t="str">
        <x:v>IPC</x:v>
      </x:c>
      <x:c r="C22" s="18" t="n">
        <x:f>'Perf Data'!E6</x:f>
        <x:v>1.2408932421672287</x:v>
      </x:c>
      <x:c r="D22" s="18" t="n">
        <x:f>'Perf Data'!E7</x:f>
        <x:v>1.2553728025064113</x:v>
      </x:c>
      <x:c r="E22" s="18" t="n">
        <x:f>D22-C22</x:f>
        <x:v>0.014479560339182518</x:v>
      </x:c>
      <x:c r="F22" s="20" t="n">
        <x:f>IF(C22=0,0,E22/C22)</x:f>
        <x:v>0.01166865919415748</x:v>
      </x:c>
    </x:row>
    <x:row r="23">
      <x:c r="A23" s="12" t="n">
        <x:v>200</x:v>
      </x:c>
      <x:c r="B23" t="str">
        <x:v>Branch miss rate</x:v>
      </x:c>
      <x:c r="C23" s="20" t="n">
        <x:f>'Perf Data'!H6</x:f>
        <x:v>0.003402215879426578</x:v>
      </x:c>
      <x:c r="D23" s="20" t="n">
        <x:f>'Perf Data'!H7</x:f>
        <x:v>0.003115899670272163</x:v>
      </x:c>
      <x:c r="E23" s="20" t="n">
        <x:f>D23-C23</x:f>
        <x:v>-0.00028631620915441514</x:v>
      </x:c>
      <x:c r="F23" s="20" t="n">
        <x:f>IF(C23=0,0,E23/C23)</x:f>
        <x:v>-0.08415580295353625</x:v>
      </x:c>
    </x:row>
    <x:row r="24">
      <x:c r="A24" s="12" t="n">
        <x:v>200</x:v>
      </x:c>
      <x:c r="B24" t="str">
        <x:v>Cache miss rate</x:v>
      </x:c>
      <x:c r="C24" s="20" t="n">
        <x:f>'Perf Data'!K6</x:f>
        <x:v>0.12046231634053342</x:v>
      </x:c>
      <x:c r="D24" s="20" t="n">
        <x:f>'Perf Data'!K7</x:f>
        <x:v>0.09759742602262701</x:v>
      </x:c>
      <x:c r="E24" s="20" t="n">
        <x:f>D24-C24</x:f>
        <x:v>-0.02286489031790641</x:v>
      </x:c>
      <x:c r="F24" s="20" t="n">
        <x:f>IF(C24=0,0,E24/C24)</x:f>
        <x:v>-0.18980948575876572</x:v>
      </x:c>
    </x:row>
    <x:row r="25">
      <x:c r="A25" s="12" t="n">
        <x:v>200</x:v>
      </x:c>
      <x:c r="B25" t="str">
        <x:v>LLC miss rate</x:v>
      </x:c>
      <x:c r="C25" s="20" t="n">
        <x:f>'Perf Data'!N6</x:f>
        <x:v>0.17382829119395934</x:v>
      </x:c>
      <x:c r="D25" s="20" t="n">
        <x:f>'Perf Data'!N7</x:f>
        <x:v>0.12477944131061985</x:v>
      </x:c>
      <x:c r="E25" s="20" t="n">
        <x:f>D25-C25</x:f>
        <x:v>-0.04904884988333949</x:v>
      </x:c>
      <x:c r="F25" s="20" t="n">
        <x:f>IF(C25=0,0,E25/C25)</x:f>
        <x:v>-0.28216839472126143</x:v>
      </x:c>
    </x:row>
    <x:row r="26">
      <x:c r="A26" s="12" t="n">
        <x:v>200</x:v>
      </x:c>
      <x:c r="B26" t="str">
        <x:v>Context switches</x:v>
      </x:c>
      <x:c r="C26" s="14" t="n">
        <x:f>'Perf Data'!O6</x:f>
        <x:v>8242446</x:v>
      </x:c>
      <x:c r="D26" s="14" t="n">
        <x:f>'Perf Data'!O7</x:f>
        <x:v>8474656</x:v>
      </x:c>
      <x:c r="E26" s="14" t="n">
        <x:f>D26-C26</x:f>
        <x:v>232210</x:v>
      </x:c>
      <x:c r="F26" s="20" t="n">
        <x:f>IF(C26=0,0,E26/C26)</x:f>
        <x:v>0.02817246239769117</x:v>
      </x:c>
    </x:row>
    <x:row r="27">
      <x:c r="A27" s="12" t="n">
        <x:v>200</x:v>
      </x:c>
      <x:c r="B27" t="str">
        <x:v>CPU migrations</x:v>
      </x:c>
      <x:c r="C27" s="14" t="n">
        <x:f>'Perf Data'!P6</x:f>
        <x:v>3762</x:v>
      </x:c>
      <x:c r="D27" s="14" t="n">
        <x:f>'Perf Data'!P7</x:f>
        <x:v>3371</x:v>
      </x:c>
      <x:c r="E27" s="14" t="n">
        <x:f>D27-C27</x:f>
        <x:v>-391</x:v>
      </x:c>
      <x:c r="F27" s="20" t="n">
        <x:f>IF(C27=0,0,E27/C27)</x:f>
        <x:v>-0.10393407761828814</x:v>
      </x:c>
    </x:row>
    <x:row r="28">
      <x:c r="A28" s="12" t="n">
        <x:v>200</x:v>
      </x:c>
      <x:c r="B28" t="str">
        <x:v>CPUs utilized</x:v>
      </x:c>
      <x:c r="C28" s="18" t="n">
        <x:f>'Perf Data'!S6</x:f>
        <x:v>31.612</x:v>
      </x:c>
      <x:c r="D28" s="18" t="n">
        <x:f>'Perf Data'!S7</x:f>
        <x:v>31.11</x:v>
      </x:c>
      <x:c r="E28" s="18" t="n">
        <x:f>D28-C28</x:f>
        <x:v>-0.5019999999999989</x:v>
      </x:c>
      <x:c r="F28" s="20" t="n">
        <x:f>IF(C28=0,0,E28/C28)</x:f>
        <x:v>-0.015880045552321868</x:v>
      </x:c>
    </x:row>
    <x:row r="29">
      <x:c r="A29" s="12" t="n">
        <x:v>200</x:v>
      </x:c>
      <x:c r="B29" t="str">
        <x:v>Local DRAM</x:v>
      </x:c>
      <x:c r="C29" s="14" t="n">
        <x:f>'Perf Data'!T6</x:f>
        <x:v>489955704</x:v>
      </x:c>
      <x:c r="D29" s="14" t="n">
        <x:f>'Perf Data'!T7</x:f>
        <x:v>241033497</x:v>
      </x:c>
      <x:c r="E29" s="14" t="n">
        <x:f>D29-C29</x:f>
        <x:v>-248922207</x:v>
      </x:c>
      <x:c r="F29" s="20" t="n">
        <x:f>IF(C29=0,0,E29/C29)</x:f>
        <x:v>-0.508050431840671</x:v>
      </x:c>
    </x:row>
    <x:row r="30">
      <x:c r="A30" s="12" t="n">
        <x:v>200</x:v>
      </x:c>
      <x:c r="B30" t="str">
        <x:v>Remote DRAM</x:v>
      </x:c>
      <x:c r="C30" s="14" t="n">
        <x:f>'Perf Data'!U6</x:f>
        <x:v>245007323</x:v>
      </x:c>
      <x:c r="D30" s="14" t="n">
        <x:f>'Perf Data'!U7</x:f>
        <x:v>87506801</x:v>
      </x:c>
      <x:c r="E30" s="14" t="n">
        <x:f>D30-C30</x:f>
        <x:v>-157500522</x:v>
      </x:c>
      <x:c r="F30" s="20" t="n">
        <x:f>IF(C30=0,0,E30/C30)</x:f>
        <x:v>-0.6428400591112128</x:v>
      </x:c>
    </x:row>
    <x:row r="31">
      <x:c r="A31" s="12" t="n">
        <x:v>200</x:v>
      </x:c>
      <x:c r="B31" t="str">
        <x:v>Remote ratio</x:v>
      </x:c>
      <x:c r="C31" s="20" t="n">
        <x:f>'Perf Data'!V6</x:f>
        <x:v>0.33336006574382415</x:v>
      </x:c>
      <x:c r="D31" s="20" t="n">
        <x:f>'Perf Data'!V7</x:f>
        <x:v>0.2663502819371035</x:v>
      </x:c>
      <x:c r="E31" s="20" t="n">
        <x:f>D31-C31</x:f>
        <x:v>-0.06700978380672068</x:v>
      </x:c>
      <x:c r="F31" s="20" t="n">
        <x:f>IF(C31=0,0,E31/C31)</x:f>
        <x:v>-0.2010132307155693</x:v>
      </x:c>
    </x:row>
    <x:row r="32">
      <x:c r="A32" s="12" t="n">
        <x:v>300</x:v>
      </x:c>
      <x:c r="B32" t="str">
        <x:v>IPC</x:v>
      </x:c>
      <x:c r="C32" s="18" t="n">
        <x:f>'Perf Data'!E8</x:f>
        <x:v>1.2495707887684515</x:v>
      </x:c>
      <x:c r="D32" s="18" t="n">
        <x:f>'Perf Data'!E9</x:f>
        <x:v>1.2478434954006388</x:v>
      </x:c>
      <x:c r="E32" s="18" t="n">
        <x:f>D32-C32</x:f>
        <x:v>-0.0017272933678127433</x:v>
      </x:c>
      <x:c r="F32" s="20" t="n">
        <x:f>IF(C32=0,0,E32/C32)</x:f>
        <x:v>-0.001382309336404322</x:v>
      </x:c>
    </x:row>
    <x:row r="33">
      <x:c r="A33" s="12" t="n">
        <x:v>300</x:v>
      </x:c>
      <x:c r="B33" t="str">
        <x:v>Branch miss rate</x:v>
      </x:c>
      <x:c r="C33" s="20" t="n">
        <x:f>'Perf Data'!H8</x:f>
        <x:v>0.0030858246303729045</x:v>
      </x:c>
      <x:c r="D33" s="20" t="n">
        <x:f>'Perf Data'!H9</x:f>
        <x:v>0.0030662751534807848</x:v>
      </x:c>
      <x:c r="E33" s="20" t="n">
        <x:f>D33-C33</x:f>
        <x:v>-0.00001954947689211976</x:v>
      </x:c>
      <x:c r="F33" s="20" t="n">
        <x:f>IF(C33=0,0,E33/C33)</x:f>
        <x:v>-0.006335252074826208</x:v>
      </x:c>
    </x:row>
    <x:row r="34">
      <x:c r="A34" s="12" t="n">
        <x:v>300</x:v>
      </x:c>
      <x:c r="B34" t="str">
        <x:v>Cache miss rate</x:v>
      </x:c>
      <x:c r="C34" s="20" t="n">
        <x:f>'Perf Data'!K8</x:f>
        <x:v>0.1029229467497135</x:v>
      </x:c>
      <x:c r="D34" s="20" t="n">
        <x:f>'Perf Data'!K9</x:f>
        <x:v>0.11283753777150958</x:v>
      </x:c>
      <x:c r="E34" s="20" t="n">
        <x:f>D34-C34</x:f>
        <x:v>0.00991459102179608</x:v>
      </x:c>
      <x:c r="F34" s="20" t="n">
        <x:f>IF(C34=0,0,E34/C34)</x:f>
        <x:v>0.09633022892267391</x:v>
      </x:c>
    </x:row>
    <x:row r="35">
      <x:c r="A35" s="12" t="n">
        <x:v>300</x:v>
      </x:c>
      <x:c r="B35" t="str">
        <x:v>LLC miss rate</x:v>
      </x:c>
      <x:c r="C35" s="20" t="n">
        <x:f>'Perf Data'!N8</x:f>
        <x:v>0.1611670534041989</x:v>
      </x:c>
      <x:c r="D35" s="20" t="n">
        <x:f>'Perf Data'!N9</x:f>
        <x:v>0.18167459933213725</x:v>
      </x:c>
      <x:c r="E35" s="20" t="n">
        <x:f>D35-C35</x:f>
        <x:v>0.020507545927938353</x:v>
      </x:c>
      <x:c r="F35" s="20" t="n">
        <x:f>IF(C35=0,0,E35/C35)</x:f>
        <x:v>0.12724403340989585</x:v>
      </x:c>
    </x:row>
    <x:row r="36">
      <x:c r="A36" s="12" t="n">
        <x:v>300</x:v>
      </x:c>
      <x:c r="B36" t="str">
        <x:v>Context switches</x:v>
      </x:c>
      <x:c r="C36" s="14" t="n">
        <x:f>'Perf Data'!O8</x:f>
        <x:v>7093331</x:v>
      </x:c>
      <x:c r="D36" s="14" t="n">
        <x:f>'Perf Data'!O9</x:f>
        <x:v>7238575</x:v>
      </x:c>
      <x:c r="E36" s="14" t="n">
        <x:f>D36-C36</x:f>
        <x:v>145244</x:v>
      </x:c>
      <x:c r="F36" s="20" t="n">
        <x:f>IF(C36=0,0,E36/C36)</x:f>
        <x:v>0.02047613455511945</x:v>
      </x:c>
    </x:row>
    <x:row r="37">
      <x:c r="A37" s="12" t="n">
        <x:v>300</x:v>
      </x:c>
      <x:c r="B37" t="str">
        <x:v>CPU migrations</x:v>
      </x:c>
      <x:c r="C37" s="14" t="n">
        <x:f>'Perf Data'!P8</x:f>
        <x:v>2644</x:v>
      </x:c>
      <x:c r="D37" s="14" t="n">
        <x:f>'Perf Data'!P9</x:f>
        <x:v>2755</x:v>
      </x:c>
      <x:c r="E37" s="14" t="n">
        <x:f>D37-C37</x:f>
        <x:v>111</x:v>
      </x:c>
      <x:c r="F37" s="20" t="n">
        <x:f>IF(C37=0,0,E37/C37)</x:f>
        <x:v>0.041981845688350984</x:v>
      </x:c>
    </x:row>
    <x:row r="38">
      <x:c r="A38" s="12" t="n">
        <x:v>300</x:v>
      </x:c>
      <x:c r="B38" t="str">
        <x:v>CPUs utilized</x:v>
      </x:c>
      <x:c r="C38" s="18" t="n">
        <x:f>'Perf Data'!S8</x:f>
        <x:v>31.722</x:v>
      </x:c>
      <x:c r="D38" s="18" t="n">
        <x:f>'Perf Data'!S9</x:f>
        <x:v>31.659</x:v>
      </x:c>
      <x:c r="E38" s="18" t="n">
        <x:f>D38-C38</x:f>
        <x:v>-0.06300000000000239</x:v>
      </x:c>
      <x:c r="F38" s="20" t="n">
        <x:f>IF(C38=0,0,E38/C38)</x:f>
        <x:v>-0.00198600340457734</x:v>
      </x:c>
    </x:row>
    <x:row r="39">
      <x:c r="A39" s="12" t="n">
        <x:v>300</x:v>
      </x:c>
      <x:c r="B39" t="str">
        <x:v>Local DRAM</x:v>
      </x:c>
      <x:c r="C39" s="14" t="n">
        <x:f>'Perf Data'!T8</x:f>
        <x:v>473237180</x:v>
      </x:c>
      <x:c r="D39" s="14" t="n">
        <x:f>'Perf Data'!T9</x:f>
        <x:v>210407633</x:v>
      </x:c>
      <x:c r="E39" s="14" t="n">
        <x:f>D39-C39</x:f>
        <x:v>-262829547</x:v>
      </x:c>
      <x:c r="F39" s="20" t="n">
        <x:f>IF(C39=0,0,E39/C39)</x:f>
        <x:v>-0.5553865125305666</x:v>
      </x:c>
    </x:row>
    <x:row r="40">
      <x:c r="A40" s="12" t="n">
        <x:v>300</x:v>
      </x:c>
      <x:c r="B40" t="str">
        <x:v>Remote DRAM</x:v>
      </x:c>
      <x:c r="C40" s="14" t="n">
        <x:f>'Perf Data'!U8</x:f>
        <x:v>241496744</x:v>
      </x:c>
      <x:c r="D40" s="14" t="n">
        <x:f>'Perf Data'!U9</x:f>
        <x:v>536853682</x:v>
      </x:c>
      <x:c r="E40" s="14" t="n">
        <x:f>D40-C40</x:f>
        <x:v>295356938</x:v>
      </x:c>
      <x:c r="F40" s="20" t="n">
        <x:f>IF(C40=0,0,E40/C40)</x:f>
        <x:v>1.223026584573745</x:v>
      </x:c>
    </x:row>
    <x:row r="41">
      <x:c r="A41" s="12" t="n">
        <x:v>300</x:v>
      </x:c>
      <x:c r="B41" t="str">
        <x:v>Remote ratio</x:v>
      </x:c>
      <x:c r="C41" s="20" t="n">
        <x:f>'Perf Data'!V8</x:f>
        <x:v>0.3378834219152021</x:v>
      </x:c>
      <x:c r="D41" s="20" t="n">
        <x:f>'Perf Data'!V9</x:f>
        <x:v>0.7184283077734327</x:v>
      </x:c>
      <x:c r="E41" s="20" t="n">
        <x:f>D41-C41</x:f>
        <x:v>0.3805448858582306</x:v>
      </x:c>
      <x:c r="F41" s="20" t="n">
        <x:f>IF(C41=0,0,E41/C41)</x:f>
        <x:v>1.1262608970313293</x:v>
      </x:c>
    </x:row>
  </x:sheetData>
  <x:conditionalFormatting sqref="F2:F41">
    <x:cfRule type="colorScale" priority="1">
      <x:colorScale>
        <x:cfvo type="min"/>
        <x:cfvo type="percentile" val="50"/>
        <x:cfvo type="max"/>
        <x:color rgb="FFFECACA"/>
        <x:color rgb="FFFFFFFF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dd037cc14e04076"/>
  </x:tableParts>
</x:worksheet>
</file>